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Projects\history\20260210\grt-implementation-plan\data\"/>
    </mc:Choice>
  </mc:AlternateContent>
  <xr:revisionPtr revIDLastSave="0" documentId="13_ncr:1_{5B008C90-2EC5-49D3-8C91-008D55638BB0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definedNames>
    <definedName name="_xlnm._FilterDatabase" localSheetId="0" hidden="1">Sheet1!$A$3:$L$41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C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0F3095B3002B472FADFCD8AFFD2FC1C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635" y="536575"/>
          <a:ext cx="17556480" cy="166497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<sst xmlns="http://schemas.openxmlformats.org/spreadsheetml/2006/main" count="359" uniqueCount="125">
  <si>
    <t>GRT人员能力测评（202602）</t>
  </si>
  <si>
    <t>序号</t>
  </si>
  <si>
    <t>编号</t>
  </si>
  <si>
    <t>姓名</t>
  </si>
  <si>
    <t>职位名称</t>
  </si>
  <si>
    <t>T</t>
  </si>
  <si>
    <t>S</t>
  </si>
  <si>
    <t>D</t>
  </si>
  <si>
    <t>C</t>
  </si>
  <si>
    <t>K</t>
  </si>
  <si>
    <t>L</t>
  </si>
  <si>
    <t>汇报顺序</t>
  </si>
  <si>
    <t>GRT003</t>
  </si>
  <si>
    <t>倪亚琴</t>
  </si>
  <si>
    <t>采购与项目工程师</t>
  </si>
  <si>
    <t>L2执行者</t>
  </si>
  <si>
    <t>L1.5</t>
  </si>
  <si>
    <t>L1学习者</t>
  </si>
  <si>
    <t>GRT004</t>
  </si>
  <si>
    <t>戴晓燕</t>
  </si>
  <si>
    <t>高级销售经理</t>
  </si>
  <si>
    <t>L3熟练者</t>
  </si>
  <si>
    <t>L2.5</t>
  </si>
  <si>
    <t>GRT005</t>
  </si>
  <si>
    <t>金晓锋</t>
  </si>
  <si>
    <t>制造质量经理</t>
  </si>
  <si>
    <t>GRT006</t>
  </si>
  <si>
    <t>洪香龙</t>
  </si>
  <si>
    <t>机械设计经理</t>
  </si>
  <si>
    <t>GRT007</t>
  </si>
  <si>
    <t>孙坚</t>
  </si>
  <si>
    <t>电气主管</t>
  </si>
  <si>
    <t>GRT018</t>
  </si>
  <si>
    <t>孙国祥</t>
  </si>
  <si>
    <t>电气工程师</t>
  </si>
  <si>
    <t>L3.5</t>
  </si>
  <si>
    <t>GRT019</t>
  </si>
  <si>
    <t>冯艳</t>
  </si>
  <si>
    <t>销售与项目工程师</t>
  </si>
  <si>
    <t>L4专家</t>
  </si>
  <si>
    <t>GRT020</t>
  </si>
  <si>
    <t>张洵</t>
  </si>
  <si>
    <t>L5大师</t>
  </si>
  <si>
    <t>GRT022</t>
  </si>
  <si>
    <t>李大鹏</t>
  </si>
  <si>
    <t>GRT030</t>
  </si>
  <si>
    <t>匡凯旋</t>
  </si>
  <si>
    <t>售后服务主管</t>
  </si>
  <si>
    <t>GRT035</t>
  </si>
  <si>
    <t>王志强</t>
  </si>
  <si>
    <t>GRT043</t>
  </si>
  <si>
    <t>韩保程</t>
  </si>
  <si>
    <t>GRT044</t>
  </si>
  <si>
    <t>洪小东</t>
  </si>
  <si>
    <t>机械研发工程师</t>
  </si>
  <si>
    <t>GRT045</t>
  </si>
  <si>
    <t>杨勇</t>
  </si>
  <si>
    <t>销售与项目服务经理</t>
  </si>
  <si>
    <t>GRT049</t>
  </si>
  <si>
    <t>胡杨</t>
  </si>
  <si>
    <t>IT工程师</t>
  </si>
  <si>
    <t>GRT054</t>
  </si>
  <si>
    <t>王秀萍</t>
  </si>
  <si>
    <t>总账会计</t>
  </si>
  <si>
    <t>GRT055</t>
  </si>
  <si>
    <t>沈迎凤</t>
  </si>
  <si>
    <t>采购经理</t>
  </si>
  <si>
    <t>GRT057</t>
  </si>
  <si>
    <t>滕顺英</t>
  </si>
  <si>
    <t>客户满意度</t>
  </si>
  <si>
    <t>拿到款</t>
  </si>
  <si>
    <t>GRT058</t>
  </si>
  <si>
    <t>周辉</t>
  </si>
  <si>
    <t>事业三部经理</t>
  </si>
  <si>
    <t>续订条件</t>
  </si>
  <si>
    <t>续签率</t>
  </si>
  <si>
    <t>GRT062</t>
  </si>
  <si>
    <t>朱宇浩</t>
  </si>
  <si>
    <t>IT工程师&amp;EHS</t>
  </si>
  <si>
    <t>GRT063</t>
  </si>
  <si>
    <t>刘健康</t>
  </si>
  <si>
    <t>GRT067</t>
  </si>
  <si>
    <t>沙建梅</t>
  </si>
  <si>
    <t>人事行政主管</t>
  </si>
  <si>
    <t>GRT080</t>
  </si>
  <si>
    <t>刘奥运</t>
  </si>
  <si>
    <t>董事长助理</t>
  </si>
  <si>
    <t>GRT081</t>
  </si>
  <si>
    <t>马康风</t>
  </si>
  <si>
    <t>供应链助理工程师</t>
  </si>
  <si>
    <t>GRT083</t>
  </si>
  <si>
    <t>刘坤</t>
  </si>
  <si>
    <t>GRT087</t>
  </si>
  <si>
    <t>梅奥杰</t>
  </si>
  <si>
    <t>助理电气工程师</t>
  </si>
  <si>
    <t>GRT088</t>
  </si>
  <si>
    <t>高嘉义</t>
  </si>
  <si>
    <t>GRT089</t>
  </si>
  <si>
    <t>罗小玲</t>
  </si>
  <si>
    <t>助理机械研发工程师</t>
  </si>
  <si>
    <t>GRT090</t>
  </si>
  <si>
    <t>陈加丽</t>
  </si>
  <si>
    <t>GRT093</t>
  </si>
  <si>
    <t>李柯瑶</t>
  </si>
  <si>
    <t>GRT094</t>
  </si>
  <si>
    <t>徐树奎</t>
  </si>
  <si>
    <t>事业二部经理</t>
  </si>
  <si>
    <t>GRT097</t>
  </si>
  <si>
    <t>钱佳奇</t>
  </si>
  <si>
    <t>GRT099</t>
  </si>
  <si>
    <t>殷金刚</t>
  </si>
  <si>
    <t>GRT100</t>
  </si>
  <si>
    <t>田炜钰</t>
  </si>
  <si>
    <t>行政前台</t>
  </si>
  <si>
    <t>GRT101</t>
  </si>
  <si>
    <t>王汝月</t>
  </si>
  <si>
    <t>会计助理</t>
  </si>
  <si>
    <t>GRT103</t>
  </si>
  <si>
    <t>朱文韬</t>
  </si>
  <si>
    <t>市场专员</t>
  </si>
  <si>
    <t>GRT104</t>
  </si>
  <si>
    <t>董纾雨</t>
  </si>
  <si>
    <t>倪微微</t>
  </si>
  <si>
    <t>AI数智&amp;人事行政部经理</t>
  </si>
  <si>
    <t>销售工程师/市场主管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</si>
</sst>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"/>
  <sheetViews>
    <sheetView tabSelected="1" topLeftCell="C2" zoomScale="114" zoomScaleNormal="114" workbookViewId="0">
      <pane xSplit="1" ySplit="2" topLeftCell="D24" activePane="bottomRight" state="frozen"/>
      <selection activeCell="C2" sqref="C2"/>
      <selection pane="topRight" activeCell="D2" sqref="D2"/>
      <selection pane="bottomLeft" activeCell="C4" sqref="C4"/>
      <selection pane="bottomRight" activeCell="E28" sqref="E28"/>
    </sheetView>
  </sheetViews>
  <sheetFormatPr defaultColWidth="9" defaultRowHeight="14" x14ac:dyDescent="0.25"/>
  <cols>
    <col min="1" max="1" width="7.08984375" hidden="1" customWidth="1"/>
    <col min="2" max="2" width="10.453125" hidden="1" customWidth="1"/>
    <col min="3" max="3" width="12.26953125" customWidth="1"/>
    <col min="4" max="10" width="22.6328125" customWidth="1"/>
    <col min="11" max="11" width="12.26953125" style="2" hidden="1" customWidth="1"/>
    <col min="13" max="13" width="10.90625" customWidth="1"/>
  </cols>
  <sheetData>
    <row r="1" spans="1:13" ht="25" hidden="1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5"/>
    </row>
    <row r="2" spans="1:13" ht="134" customHeight="1" x14ac:dyDescent="0.25">
      <c r="A2" s="3"/>
      <c r="B2" s="4"/>
      <c r="C2" s="19" t="str">
        <f>_xlfn.DISPIMG("ID_0F3095B3002B472FADFCD8AFFD2FC1CA",1)</f>
        <v>=DISPIMG("ID_0F3095B3002B472FADFCD8AFFD2FC1CA",1)</v>
      </c>
      <c r="D2" s="19"/>
      <c r="E2" s="19"/>
      <c r="F2" s="19"/>
      <c r="G2" s="19"/>
      <c r="H2" s="19"/>
      <c r="I2" s="19"/>
      <c r="J2" s="19"/>
      <c r="K2" s="5"/>
    </row>
    <row r="3" spans="1:13" ht="40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5" t="s">
        <v>11</v>
      </c>
    </row>
    <row r="4" spans="1:13" ht="25" customHeight="1" x14ac:dyDescent="0.25">
      <c r="A4" s="7">
        <f>ROW()-2</f>
        <v>2</v>
      </c>
      <c r="B4" s="8" t="s">
        <v>12</v>
      </c>
      <c r="C4" s="9" t="s">
        <v>13</v>
      </c>
      <c r="D4" s="9" t="s">
        <v>14</v>
      </c>
      <c r="E4" s="10" t="s">
        <v>15</v>
      </c>
      <c r="F4" s="10" t="s">
        <v>15</v>
      </c>
      <c r="G4" s="10" t="s">
        <v>15</v>
      </c>
      <c r="H4" s="10" t="s">
        <v>16</v>
      </c>
      <c r="I4" s="10" t="s">
        <v>15</v>
      </c>
      <c r="J4" s="10" t="s">
        <v>15</v>
      </c>
      <c r="K4" s="11">
        <v>1</v>
      </c>
      <c r="M4" t="s">
        <v>17</v>
      </c>
    </row>
    <row r="5" spans="1:13" ht="25" customHeight="1" x14ac:dyDescent="0.25">
      <c r="A5" s="7">
        <f t="shared" ref="A5:A14" si="0">ROW()-2</f>
        <v>3</v>
      </c>
      <c r="B5" s="8" t="s">
        <v>18</v>
      </c>
      <c r="C5" s="9" t="s">
        <v>19</v>
      </c>
      <c r="D5" s="9" t="s">
        <v>20</v>
      </c>
      <c r="E5" s="10" t="s">
        <v>21</v>
      </c>
      <c r="F5" s="10" t="s">
        <v>22</v>
      </c>
      <c r="G5" s="10" t="s">
        <v>22</v>
      </c>
      <c r="H5" s="10" t="s">
        <v>21</v>
      </c>
      <c r="I5" s="10" t="s">
        <v>15</v>
      </c>
      <c r="J5" s="10" t="s">
        <v>21</v>
      </c>
      <c r="K5" s="11">
        <v>2</v>
      </c>
      <c r="M5" t="s">
        <v>16</v>
      </c>
    </row>
    <row r="6" spans="1:13" ht="25" customHeight="1" x14ac:dyDescent="0.25">
      <c r="A6" s="7">
        <f t="shared" si="0"/>
        <v>4</v>
      </c>
      <c r="B6" s="8" t="s">
        <v>23</v>
      </c>
      <c r="C6" s="9" t="s">
        <v>24</v>
      </c>
      <c r="D6" s="9" t="s">
        <v>25</v>
      </c>
      <c r="E6" s="10" t="s">
        <v>21</v>
      </c>
      <c r="F6" s="10" t="s">
        <v>15</v>
      </c>
      <c r="G6" s="10" t="s">
        <v>22</v>
      </c>
      <c r="H6" s="10" t="s">
        <v>21</v>
      </c>
      <c r="I6" s="10" t="s">
        <v>22</v>
      </c>
      <c r="J6" s="10" t="s">
        <v>21</v>
      </c>
      <c r="K6" s="11">
        <v>3</v>
      </c>
      <c r="M6" t="s">
        <v>15</v>
      </c>
    </row>
    <row r="7" spans="1:13" ht="25" customHeight="1" x14ac:dyDescent="0.25">
      <c r="A7" s="7">
        <f t="shared" si="0"/>
        <v>5</v>
      </c>
      <c r="B7" s="8" t="s">
        <v>26</v>
      </c>
      <c r="C7" s="9" t="s">
        <v>27</v>
      </c>
      <c r="D7" s="9" t="s">
        <v>28</v>
      </c>
      <c r="E7" s="10" t="s">
        <v>21</v>
      </c>
      <c r="F7" s="10" t="s">
        <v>22</v>
      </c>
      <c r="G7" s="10" t="s">
        <v>21</v>
      </c>
      <c r="H7" s="10" t="s">
        <v>22</v>
      </c>
      <c r="I7" s="10" t="s">
        <v>15</v>
      </c>
      <c r="J7" s="10" t="s">
        <v>21</v>
      </c>
      <c r="K7" s="11">
        <v>4</v>
      </c>
      <c r="M7" t="s">
        <v>22</v>
      </c>
    </row>
    <row r="8" spans="1:13" ht="25" customHeight="1" x14ac:dyDescent="0.25">
      <c r="A8" s="7">
        <f t="shared" si="0"/>
        <v>6</v>
      </c>
      <c r="B8" s="8" t="s">
        <v>29</v>
      </c>
      <c r="C8" s="9" t="s">
        <v>30</v>
      </c>
      <c r="D8" s="9" t="s">
        <v>31</v>
      </c>
      <c r="E8" s="10" t="s">
        <v>21</v>
      </c>
      <c r="F8" s="10" t="s">
        <v>21</v>
      </c>
      <c r="G8" s="10" t="s">
        <v>22</v>
      </c>
      <c r="H8" s="10" t="s">
        <v>22</v>
      </c>
      <c r="I8" s="10" t="s">
        <v>22</v>
      </c>
      <c r="J8" s="10" t="s">
        <v>15</v>
      </c>
      <c r="K8" s="11">
        <v>5</v>
      </c>
      <c r="M8" t="s">
        <v>21</v>
      </c>
    </row>
    <row r="9" spans="1:13" ht="25" customHeight="1" x14ac:dyDescent="0.25">
      <c r="A9" s="7">
        <f t="shared" si="0"/>
        <v>7</v>
      </c>
      <c r="B9" s="8" t="s">
        <v>32</v>
      </c>
      <c r="C9" s="9" t="s">
        <v>33</v>
      </c>
      <c r="D9" s="9" t="s">
        <v>34</v>
      </c>
      <c r="E9" s="10" t="s">
        <v>15</v>
      </c>
      <c r="F9" s="10" t="s">
        <v>16</v>
      </c>
      <c r="G9" s="10" t="s">
        <v>15</v>
      </c>
      <c r="H9" s="10" t="s">
        <v>15</v>
      </c>
      <c r="I9" s="10" t="s">
        <v>15</v>
      </c>
      <c r="J9" s="10" t="s">
        <v>15</v>
      </c>
      <c r="K9" s="11">
        <v>6</v>
      </c>
      <c r="M9" t="s">
        <v>35</v>
      </c>
    </row>
    <row r="10" spans="1:13" ht="25" customHeight="1" x14ac:dyDescent="0.25">
      <c r="A10" s="7">
        <f t="shared" si="0"/>
        <v>8</v>
      </c>
      <c r="B10" s="8" t="s">
        <v>36</v>
      </c>
      <c r="C10" s="9" t="s">
        <v>37</v>
      </c>
      <c r="D10" s="9" t="s">
        <v>38</v>
      </c>
      <c r="E10" s="10" t="s">
        <v>22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16</v>
      </c>
      <c r="K10" s="11">
        <v>7</v>
      </c>
      <c r="M10" t="s">
        <v>39</v>
      </c>
    </row>
    <row r="11" spans="1:13" ht="25" customHeight="1" x14ac:dyDescent="0.25">
      <c r="A11" s="7">
        <f t="shared" si="0"/>
        <v>9</v>
      </c>
      <c r="B11" s="8" t="s">
        <v>40</v>
      </c>
      <c r="C11" s="9" t="s">
        <v>41</v>
      </c>
      <c r="D11" s="9" t="s">
        <v>14</v>
      </c>
      <c r="E11" s="10" t="s">
        <v>22</v>
      </c>
      <c r="F11" s="10" t="s">
        <v>15</v>
      </c>
      <c r="G11" s="10" t="s">
        <v>15</v>
      </c>
      <c r="H11" s="10" t="s">
        <v>16</v>
      </c>
      <c r="I11" s="10" t="s">
        <v>15</v>
      </c>
      <c r="J11" s="10" t="s">
        <v>15</v>
      </c>
      <c r="K11" s="11">
        <v>8</v>
      </c>
      <c r="M11" t="s">
        <v>42</v>
      </c>
    </row>
    <row r="12" spans="1:13" ht="25" customHeight="1" x14ac:dyDescent="0.25">
      <c r="A12" s="7">
        <f t="shared" si="0"/>
        <v>10</v>
      </c>
      <c r="B12" s="8" t="s">
        <v>43</v>
      </c>
      <c r="C12" s="9" t="s">
        <v>44</v>
      </c>
      <c r="D12" s="9" t="s">
        <v>34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1">
        <v>9</v>
      </c>
    </row>
    <row r="13" spans="1:13" ht="25" customHeight="1" x14ac:dyDescent="0.25">
      <c r="A13" s="7">
        <f t="shared" si="0"/>
        <v>11</v>
      </c>
      <c r="B13" s="8" t="s">
        <v>45</v>
      </c>
      <c r="C13" s="9" t="s">
        <v>46</v>
      </c>
      <c r="D13" s="9" t="s">
        <v>47</v>
      </c>
      <c r="E13" s="10" t="s">
        <v>22</v>
      </c>
      <c r="F13" s="10" t="s">
        <v>15</v>
      </c>
      <c r="G13" s="10" t="s">
        <v>22</v>
      </c>
      <c r="H13" s="10" t="s">
        <v>22</v>
      </c>
      <c r="I13" s="10" t="s">
        <v>15</v>
      </c>
      <c r="J13" s="10" t="s">
        <v>22</v>
      </c>
      <c r="K13" s="11">
        <v>10</v>
      </c>
    </row>
    <row r="14" spans="1:13" ht="25" customHeight="1" x14ac:dyDescent="0.25">
      <c r="A14" s="7">
        <f t="shared" si="0"/>
        <v>12</v>
      </c>
      <c r="B14" s="8" t="s">
        <v>48</v>
      </c>
      <c r="C14" s="9" t="s">
        <v>49</v>
      </c>
      <c r="D14" s="9" t="s">
        <v>38</v>
      </c>
      <c r="E14" s="10" t="s">
        <v>15</v>
      </c>
      <c r="F14" s="10" t="s">
        <v>15</v>
      </c>
      <c r="G14" s="10" t="s">
        <v>16</v>
      </c>
      <c r="H14" s="10" t="s">
        <v>15</v>
      </c>
      <c r="I14" s="10" t="s">
        <v>15</v>
      </c>
      <c r="J14" s="10" t="s">
        <v>16</v>
      </c>
      <c r="K14" s="11">
        <v>11</v>
      </c>
    </row>
    <row r="15" spans="1:13" ht="25" customHeight="1" x14ac:dyDescent="0.25">
      <c r="A15" s="7">
        <f t="shared" ref="A15:A24" si="1">ROW()-2</f>
        <v>13</v>
      </c>
      <c r="B15" s="12" t="s">
        <v>50</v>
      </c>
      <c r="C15" s="9" t="s">
        <v>51</v>
      </c>
      <c r="D15" s="9" t="s">
        <v>38</v>
      </c>
      <c r="E15" s="10" t="s">
        <v>22</v>
      </c>
      <c r="F15" s="10" t="s">
        <v>22</v>
      </c>
      <c r="G15" s="10" t="s">
        <v>22</v>
      </c>
      <c r="H15" s="10" t="s">
        <v>22</v>
      </c>
      <c r="I15" s="10" t="s">
        <v>15</v>
      </c>
      <c r="J15" s="10" t="s">
        <v>15</v>
      </c>
      <c r="K15" s="13">
        <v>12</v>
      </c>
    </row>
    <row r="16" spans="1:13" ht="25" customHeight="1" x14ac:dyDescent="0.25">
      <c r="A16" s="14">
        <f t="shared" si="1"/>
        <v>14</v>
      </c>
      <c r="B16" s="15" t="s">
        <v>52</v>
      </c>
      <c r="C16" s="9" t="s">
        <v>53</v>
      </c>
      <c r="D16" s="9" t="s">
        <v>54</v>
      </c>
      <c r="E16" s="10" t="s">
        <v>15</v>
      </c>
      <c r="F16" s="10" t="s">
        <v>15</v>
      </c>
      <c r="G16" s="10" t="s">
        <v>15</v>
      </c>
      <c r="H16" s="10" t="s">
        <v>16</v>
      </c>
      <c r="I16" s="10" t="s">
        <v>16</v>
      </c>
      <c r="J16" s="10" t="s">
        <v>15</v>
      </c>
      <c r="K16" s="16">
        <v>13</v>
      </c>
    </row>
    <row r="17" spans="1:39" s="1" customFormat="1" ht="25" customHeight="1" x14ac:dyDescent="0.25">
      <c r="A17" s="1">
        <f t="shared" si="1"/>
        <v>15</v>
      </c>
      <c r="B17" s="1" t="s">
        <v>55</v>
      </c>
      <c r="C17" s="10" t="s">
        <v>56</v>
      </c>
      <c r="D17" s="10" t="s">
        <v>57</v>
      </c>
      <c r="E17" s="10" t="s">
        <v>15</v>
      </c>
      <c r="F17" s="10" t="s">
        <v>21</v>
      </c>
      <c r="G17" s="10" t="s">
        <v>16</v>
      </c>
      <c r="H17" s="10" t="s">
        <v>15</v>
      </c>
      <c r="I17" s="10" t="s">
        <v>16</v>
      </c>
      <c r="J17" s="10" t="s">
        <v>16</v>
      </c>
      <c r="K17" s="1">
        <v>14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25" customHeight="1" x14ac:dyDescent="0.25">
      <c r="A18" s="7">
        <f t="shared" si="1"/>
        <v>16</v>
      </c>
      <c r="B18" s="12" t="s">
        <v>58</v>
      </c>
      <c r="C18" s="10" t="s">
        <v>59</v>
      </c>
      <c r="D18" s="10" t="s">
        <v>60</v>
      </c>
      <c r="E18" s="10" t="s">
        <v>22</v>
      </c>
      <c r="F18" s="10" t="s">
        <v>22</v>
      </c>
      <c r="G18" s="10" t="s">
        <v>21</v>
      </c>
      <c r="H18" s="10" t="s">
        <v>15</v>
      </c>
      <c r="I18" s="10" t="s">
        <v>15</v>
      </c>
      <c r="J18" s="10" t="s">
        <v>15</v>
      </c>
      <c r="K18" s="17">
        <v>15</v>
      </c>
    </row>
    <row r="19" spans="1:39" ht="25" customHeight="1" x14ac:dyDescent="0.25">
      <c r="A19" s="7">
        <f t="shared" si="1"/>
        <v>17</v>
      </c>
      <c r="B19" s="12" t="s">
        <v>61</v>
      </c>
      <c r="C19" s="10" t="s">
        <v>62</v>
      </c>
      <c r="D19" s="10" t="s">
        <v>63</v>
      </c>
      <c r="E19" s="10" t="s">
        <v>22</v>
      </c>
      <c r="F19" s="10" t="s">
        <v>15</v>
      </c>
      <c r="G19" s="10" t="s">
        <v>22</v>
      </c>
      <c r="H19" s="10" t="s">
        <v>15</v>
      </c>
      <c r="I19" s="10" t="s">
        <v>22</v>
      </c>
      <c r="J19" s="10" t="s">
        <v>15</v>
      </c>
      <c r="K19" s="13">
        <v>16</v>
      </c>
    </row>
    <row r="20" spans="1:39" ht="25" customHeight="1" x14ac:dyDescent="0.25">
      <c r="A20" s="7">
        <f t="shared" si="1"/>
        <v>18</v>
      </c>
      <c r="B20" s="12" t="s">
        <v>64</v>
      </c>
      <c r="C20" s="10" t="s">
        <v>65</v>
      </c>
      <c r="D20" s="10" t="s">
        <v>66</v>
      </c>
      <c r="E20" s="10" t="s">
        <v>21</v>
      </c>
      <c r="F20" s="10" t="s">
        <v>21</v>
      </c>
      <c r="G20" s="10" t="s">
        <v>21</v>
      </c>
      <c r="H20" s="10" t="s">
        <v>15</v>
      </c>
      <c r="I20" s="10" t="s">
        <v>15</v>
      </c>
      <c r="J20" s="10" t="s">
        <v>35</v>
      </c>
      <c r="K20" s="13">
        <v>17</v>
      </c>
    </row>
    <row r="21" spans="1:39" ht="25" customHeight="1" x14ac:dyDescent="0.25">
      <c r="A21" s="7">
        <f t="shared" si="1"/>
        <v>19</v>
      </c>
      <c r="B21" s="8" t="s">
        <v>67</v>
      </c>
      <c r="C21" s="10" t="s">
        <v>68</v>
      </c>
      <c r="D21" s="10" t="s">
        <v>14</v>
      </c>
      <c r="E21" s="10" t="s">
        <v>15</v>
      </c>
      <c r="F21" s="10" t="s">
        <v>15</v>
      </c>
      <c r="G21" s="10" t="s">
        <v>15</v>
      </c>
      <c r="H21" s="10" t="s">
        <v>16</v>
      </c>
      <c r="I21" s="10" t="s">
        <v>15</v>
      </c>
      <c r="J21" s="10" t="s">
        <v>15</v>
      </c>
      <c r="K21" s="11">
        <v>18</v>
      </c>
      <c r="M21" t="s">
        <v>69</v>
      </c>
      <c r="N21" t="s">
        <v>70</v>
      </c>
    </row>
    <row r="22" spans="1:39" ht="25" customHeight="1" x14ac:dyDescent="0.25">
      <c r="A22" s="7">
        <f t="shared" si="1"/>
        <v>20</v>
      </c>
      <c r="B22" s="8" t="s">
        <v>71</v>
      </c>
      <c r="C22" s="10" t="s">
        <v>72</v>
      </c>
      <c r="D22" s="10" t="s">
        <v>73</v>
      </c>
      <c r="E22" s="10" t="s">
        <v>21</v>
      </c>
      <c r="F22" s="10" t="s">
        <v>15</v>
      </c>
      <c r="G22" s="10" t="s">
        <v>22</v>
      </c>
      <c r="H22" s="10" t="s">
        <v>22</v>
      </c>
      <c r="I22" s="10" t="s">
        <v>22</v>
      </c>
      <c r="J22" s="10" t="s">
        <v>22</v>
      </c>
      <c r="K22" s="11">
        <v>19</v>
      </c>
      <c r="M22" t="s">
        <v>74</v>
      </c>
      <c r="N22" t="s">
        <v>75</v>
      </c>
    </row>
    <row r="23" spans="1:39" ht="25" customHeight="1" x14ac:dyDescent="0.25">
      <c r="A23" s="7">
        <f t="shared" si="1"/>
        <v>21</v>
      </c>
      <c r="B23" s="8" t="s">
        <v>76</v>
      </c>
      <c r="C23" s="10" t="s">
        <v>77</v>
      </c>
      <c r="D23" s="10" t="s">
        <v>78</v>
      </c>
      <c r="E23" s="10" t="s">
        <v>15</v>
      </c>
      <c r="F23" s="10" t="s">
        <v>22</v>
      </c>
      <c r="G23" s="10" t="s">
        <v>15</v>
      </c>
      <c r="H23" s="10" t="s">
        <v>16</v>
      </c>
      <c r="I23" s="10" t="s">
        <v>15</v>
      </c>
      <c r="J23" s="10" t="s">
        <v>15</v>
      </c>
      <c r="K23" s="11">
        <v>20</v>
      </c>
    </row>
    <row r="24" spans="1:39" ht="25" customHeight="1" x14ac:dyDescent="0.25">
      <c r="A24" s="7">
        <f t="shared" si="1"/>
        <v>22</v>
      </c>
      <c r="B24" s="8" t="s">
        <v>79</v>
      </c>
      <c r="C24" s="10" t="s">
        <v>80</v>
      </c>
      <c r="D24" s="9" t="s">
        <v>38</v>
      </c>
      <c r="E24" s="10" t="s">
        <v>15</v>
      </c>
      <c r="F24" s="10" t="s">
        <v>16</v>
      </c>
      <c r="G24" s="10" t="s">
        <v>17</v>
      </c>
      <c r="H24" s="10" t="s">
        <v>16</v>
      </c>
      <c r="I24" s="10" t="s">
        <v>16</v>
      </c>
      <c r="J24" s="10" t="s">
        <v>17</v>
      </c>
      <c r="K24" s="11">
        <v>21</v>
      </c>
    </row>
    <row r="25" spans="1:39" ht="25" customHeight="1" x14ac:dyDescent="0.25">
      <c r="A25" s="7">
        <f t="shared" ref="A25:A34" si="2">ROW()-2</f>
        <v>23</v>
      </c>
      <c r="B25" s="8" t="s">
        <v>81</v>
      </c>
      <c r="C25" s="10" t="s">
        <v>82</v>
      </c>
      <c r="D25" s="10" t="s">
        <v>83</v>
      </c>
      <c r="E25" s="10" t="s">
        <v>15</v>
      </c>
      <c r="F25" s="10" t="s">
        <v>16</v>
      </c>
      <c r="G25" s="10" t="s">
        <v>15</v>
      </c>
      <c r="H25" s="10" t="s">
        <v>15</v>
      </c>
      <c r="I25" s="10" t="s">
        <v>15</v>
      </c>
      <c r="J25" s="10" t="s">
        <v>15</v>
      </c>
      <c r="K25" s="11">
        <v>22</v>
      </c>
    </row>
    <row r="26" spans="1:39" ht="25" customHeight="1" x14ac:dyDescent="0.25">
      <c r="A26" s="7">
        <f t="shared" si="2"/>
        <v>24</v>
      </c>
      <c r="B26" s="8" t="s">
        <v>84</v>
      </c>
      <c r="C26" s="10" t="s">
        <v>85</v>
      </c>
      <c r="D26" s="10" t="s">
        <v>86</v>
      </c>
      <c r="E26" s="10" t="s">
        <v>15</v>
      </c>
      <c r="F26" s="10" t="s">
        <v>15</v>
      </c>
      <c r="G26" s="10" t="s">
        <v>17</v>
      </c>
      <c r="H26" s="10" t="s">
        <v>16</v>
      </c>
      <c r="I26" s="10" t="s">
        <v>15</v>
      </c>
      <c r="J26" s="10" t="s">
        <v>15</v>
      </c>
      <c r="K26" s="11">
        <v>23</v>
      </c>
    </row>
    <row r="27" spans="1:39" ht="25" customHeight="1" x14ac:dyDescent="0.25">
      <c r="A27" s="7">
        <f t="shared" si="2"/>
        <v>25</v>
      </c>
      <c r="B27" s="8" t="s">
        <v>87</v>
      </c>
      <c r="C27" s="10" t="s">
        <v>88</v>
      </c>
      <c r="D27" s="10" t="s">
        <v>89</v>
      </c>
      <c r="E27" s="10" t="s">
        <v>22</v>
      </c>
      <c r="F27" s="10" t="s">
        <v>22</v>
      </c>
      <c r="G27" s="10" t="s">
        <v>16</v>
      </c>
      <c r="H27" s="10" t="s">
        <v>16</v>
      </c>
      <c r="I27" s="10" t="s">
        <v>15</v>
      </c>
      <c r="J27" s="10" t="s">
        <v>22</v>
      </c>
      <c r="K27" s="11">
        <v>24</v>
      </c>
    </row>
    <row r="28" spans="1:39" ht="25" customHeight="1" x14ac:dyDescent="0.25">
      <c r="A28" s="7">
        <f t="shared" si="2"/>
        <v>26</v>
      </c>
      <c r="B28" s="8" t="s">
        <v>90</v>
      </c>
      <c r="C28" s="10" t="s">
        <v>91</v>
      </c>
      <c r="D28" s="9" t="s">
        <v>124</v>
      </c>
      <c r="E28" s="10" t="s">
        <v>15</v>
      </c>
      <c r="F28" s="10" t="s">
        <v>22</v>
      </c>
      <c r="G28" s="10" t="s">
        <v>22</v>
      </c>
      <c r="H28" s="10" t="s">
        <v>16</v>
      </c>
      <c r="I28" s="10" t="s">
        <v>15</v>
      </c>
      <c r="J28" s="10" t="s">
        <v>15</v>
      </c>
      <c r="K28" s="11">
        <v>25</v>
      </c>
    </row>
    <row r="29" spans="1:39" ht="25" customHeight="1" x14ac:dyDescent="0.25">
      <c r="A29" s="7">
        <f t="shared" si="2"/>
        <v>27</v>
      </c>
      <c r="B29" s="8" t="s">
        <v>92</v>
      </c>
      <c r="C29" s="10" t="s">
        <v>93</v>
      </c>
      <c r="D29" s="10" t="s">
        <v>94</v>
      </c>
      <c r="E29" s="10" t="s">
        <v>17</v>
      </c>
      <c r="F29" s="10" t="s">
        <v>17</v>
      </c>
      <c r="G29" s="10" t="s">
        <v>17</v>
      </c>
      <c r="H29" s="10" t="s">
        <v>17</v>
      </c>
      <c r="I29" s="10" t="s">
        <v>17</v>
      </c>
      <c r="J29" s="10" t="s">
        <v>17</v>
      </c>
      <c r="K29" s="11">
        <v>26</v>
      </c>
    </row>
    <row r="30" spans="1:39" ht="25" customHeight="1" x14ac:dyDescent="0.25">
      <c r="A30" s="7">
        <f t="shared" si="2"/>
        <v>28</v>
      </c>
      <c r="B30" s="8" t="s">
        <v>95</v>
      </c>
      <c r="C30" s="10" t="s">
        <v>96</v>
      </c>
      <c r="D30" s="10" t="s">
        <v>94</v>
      </c>
      <c r="E30" s="10" t="s">
        <v>17</v>
      </c>
      <c r="F30" s="10" t="s">
        <v>17</v>
      </c>
      <c r="G30" s="10" t="s">
        <v>17</v>
      </c>
      <c r="H30" s="10" t="s">
        <v>17</v>
      </c>
      <c r="I30" s="10" t="s">
        <v>17</v>
      </c>
      <c r="J30" s="10" t="s">
        <v>17</v>
      </c>
      <c r="K30" s="11">
        <v>27</v>
      </c>
    </row>
    <row r="31" spans="1:39" ht="25" customHeight="1" x14ac:dyDescent="0.25">
      <c r="A31" s="7">
        <f t="shared" si="2"/>
        <v>29</v>
      </c>
      <c r="B31" s="8" t="s">
        <v>97</v>
      </c>
      <c r="C31" s="10" t="s">
        <v>98</v>
      </c>
      <c r="D31" s="10" t="s">
        <v>99</v>
      </c>
      <c r="E31" s="10" t="s">
        <v>17</v>
      </c>
      <c r="F31" s="10" t="s">
        <v>17</v>
      </c>
      <c r="G31" s="10" t="s">
        <v>17</v>
      </c>
      <c r="H31" s="10" t="s">
        <v>17</v>
      </c>
      <c r="I31" s="10" t="s">
        <v>17</v>
      </c>
      <c r="J31" s="10" t="s">
        <v>17</v>
      </c>
      <c r="K31" s="11">
        <v>28</v>
      </c>
    </row>
    <row r="32" spans="1:39" ht="25" customHeight="1" x14ac:dyDescent="0.25">
      <c r="A32" s="7">
        <f t="shared" si="2"/>
        <v>30</v>
      </c>
      <c r="B32" s="8" t="s">
        <v>100</v>
      </c>
      <c r="C32" s="10" t="s">
        <v>101</v>
      </c>
      <c r="D32" s="10" t="s">
        <v>99</v>
      </c>
      <c r="E32" s="10" t="s">
        <v>17</v>
      </c>
      <c r="F32" s="10" t="s">
        <v>17</v>
      </c>
      <c r="G32" s="10" t="s">
        <v>17</v>
      </c>
      <c r="H32" s="10" t="s">
        <v>17</v>
      </c>
      <c r="I32" s="10" t="s">
        <v>17</v>
      </c>
      <c r="J32" s="10" t="s">
        <v>17</v>
      </c>
      <c r="K32" s="11">
        <v>29</v>
      </c>
    </row>
    <row r="33" spans="1:11" ht="25" customHeight="1" x14ac:dyDescent="0.25">
      <c r="A33" s="7">
        <f t="shared" si="2"/>
        <v>31</v>
      </c>
      <c r="B33" s="8" t="s">
        <v>102</v>
      </c>
      <c r="C33" s="10" t="s">
        <v>103</v>
      </c>
      <c r="D33" s="10" t="s">
        <v>38</v>
      </c>
      <c r="E33" s="10" t="s">
        <v>17</v>
      </c>
      <c r="F33" s="10" t="s">
        <v>17</v>
      </c>
      <c r="G33" s="10" t="s">
        <v>17</v>
      </c>
      <c r="H33" s="10" t="s">
        <v>17</v>
      </c>
      <c r="I33" s="10" t="s">
        <v>17</v>
      </c>
      <c r="J33" s="10" t="s">
        <v>17</v>
      </c>
      <c r="K33" s="11">
        <v>30</v>
      </c>
    </row>
    <row r="34" spans="1:11" ht="25" customHeight="1" x14ac:dyDescent="0.25">
      <c r="A34" s="7">
        <f t="shared" si="2"/>
        <v>32</v>
      </c>
      <c r="B34" s="8" t="s">
        <v>104</v>
      </c>
      <c r="C34" s="10" t="s">
        <v>105</v>
      </c>
      <c r="D34" s="10" t="s">
        <v>106</v>
      </c>
      <c r="E34" s="10" t="s">
        <v>21</v>
      </c>
      <c r="F34" s="10" t="s">
        <v>15</v>
      </c>
      <c r="G34" s="10" t="s">
        <v>22</v>
      </c>
      <c r="H34" s="10" t="s">
        <v>22</v>
      </c>
      <c r="I34" s="10" t="s">
        <v>22</v>
      </c>
      <c r="J34" s="10" t="s">
        <v>22</v>
      </c>
      <c r="K34" s="11">
        <v>31</v>
      </c>
    </row>
    <row r="35" spans="1:11" ht="25" customHeight="1" x14ac:dyDescent="0.25">
      <c r="A35" s="7">
        <f t="shared" ref="A35:A40" si="3">ROW()-2</f>
        <v>33</v>
      </c>
      <c r="B35" s="8" t="s">
        <v>107</v>
      </c>
      <c r="C35" s="10" t="s">
        <v>108</v>
      </c>
      <c r="D35" s="10" t="s">
        <v>34</v>
      </c>
      <c r="E35" s="10" t="s">
        <v>15</v>
      </c>
      <c r="F35" s="10" t="s">
        <v>15</v>
      </c>
      <c r="G35" s="10" t="s">
        <v>15</v>
      </c>
      <c r="H35" s="10" t="s">
        <v>15</v>
      </c>
      <c r="I35" s="10" t="s">
        <v>15</v>
      </c>
      <c r="J35" s="10" t="s">
        <v>15</v>
      </c>
      <c r="K35" s="11">
        <v>32</v>
      </c>
    </row>
    <row r="36" spans="1:11" ht="25" customHeight="1" x14ac:dyDescent="0.25">
      <c r="A36" s="7">
        <f t="shared" si="3"/>
        <v>34</v>
      </c>
      <c r="B36" s="8" t="s">
        <v>109</v>
      </c>
      <c r="C36" s="9" t="s">
        <v>110</v>
      </c>
      <c r="D36" s="9" t="s">
        <v>54</v>
      </c>
      <c r="E36" s="10" t="s">
        <v>22</v>
      </c>
      <c r="F36" s="10" t="s">
        <v>15</v>
      </c>
      <c r="G36" s="10" t="s">
        <v>22</v>
      </c>
      <c r="H36" s="10" t="s">
        <v>15</v>
      </c>
      <c r="I36" s="10" t="s">
        <v>16</v>
      </c>
      <c r="J36" s="10" t="s">
        <v>15</v>
      </c>
      <c r="K36" s="11">
        <v>33</v>
      </c>
    </row>
    <row r="37" spans="1:11" ht="25" customHeight="1" x14ac:dyDescent="0.25">
      <c r="A37" s="7">
        <f t="shared" si="3"/>
        <v>35</v>
      </c>
      <c r="B37" s="8" t="s">
        <v>111</v>
      </c>
      <c r="C37" s="10" t="s">
        <v>112</v>
      </c>
      <c r="D37" s="10" t="s">
        <v>113</v>
      </c>
      <c r="E37" s="10" t="s">
        <v>17</v>
      </c>
      <c r="F37" s="10" t="s">
        <v>17</v>
      </c>
      <c r="G37" s="10" t="s">
        <v>17</v>
      </c>
      <c r="H37" s="10" t="s">
        <v>17</v>
      </c>
      <c r="I37" s="10" t="s">
        <v>17</v>
      </c>
      <c r="J37" s="10" t="s">
        <v>17</v>
      </c>
      <c r="K37" s="11">
        <v>34</v>
      </c>
    </row>
    <row r="38" spans="1:11" ht="25" customHeight="1" x14ac:dyDescent="0.25">
      <c r="A38" s="7">
        <f t="shared" si="3"/>
        <v>36</v>
      </c>
      <c r="B38" s="8" t="s">
        <v>114</v>
      </c>
      <c r="C38" s="10" t="s">
        <v>115</v>
      </c>
      <c r="D38" s="10" t="s">
        <v>116</v>
      </c>
      <c r="E38" s="10" t="s">
        <v>17</v>
      </c>
      <c r="F38" s="10" t="s">
        <v>17</v>
      </c>
      <c r="G38" s="10" t="s">
        <v>17</v>
      </c>
      <c r="H38" s="10" t="s">
        <v>17</v>
      </c>
      <c r="I38" s="10" t="s">
        <v>17</v>
      </c>
      <c r="J38" s="10" t="s">
        <v>17</v>
      </c>
      <c r="K38" s="11">
        <v>35</v>
      </c>
    </row>
    <row r="39" spans="1:11" ht="25" customHeight="1" x14ac:dyDescent="0.25">
      <c r="A39" s="7">
        <f t="shared" si="3"/>
        <v>37</v>
      </c>
      <c r="B39" s="8" t="s">
        <v>117</v>
      </c>
      <c r="C39" s="10" t="s">
        <v>118</v>
      </c>
      <c r="D39" s="10" t="s">
        <v>119</v>
      </c>
      <c r="E39" s="10" t="s">
        <v>17</v>
      </c>
      <c r="F39" s="10" t="s">
        <v>17</v>
      </c>
      <c r="G39" s="10" t="s">
        <v>17</v>
      </c>
      <c r="H39" s="10" t="s">
        <v>17</v>
      </c>
      <c r="I39" s="10" t="s">
        <v>17</v>
      </c>
      <c r="J39" s="10" t="s">
        <v>17</v>
      </c>
      <c r="K39" s="11">
        <v>36</v>
      </c>
    </row>
    <row r="40" spans="1:11" ht="25" customHeight="1" x14ac:dyDescent="0.25">
      <c r="A40" s="7">
        <f t="shared" si="3"/>
        <v>38</v>
      </c>
      <c r="B40" s="8" t="s">
        <v>120</v>
      </c>
      <c r="C40" s="10" t="s">
        <v>121</v>
      </c>
      <c r="D40" s="10" t="s">
        <v>38</v>
      </c>
      <c r="E40" s="10" t="s">
        <v>17</v>
      </c>
      <c r="F40" s="10" t="s">
        <v>17</v>
      </c>
      <c r="G40" s="10" t="s">
        <v>17</v>
      </c>
      <c r="H40" s="10" t="s">
        <v>17</v>
      </c>
      <c r="I40" s="10" t="s">
        <v>17</v>
      </c>
      <c r="J40" s="10" t="s">
        <v>17</v>
      </c>
      <c r="K40" s="11">
        <v>37</v>
      </c>
    </row>
    <row r="41" spans="1:11" ht="25" customHeight="1" x14ac:dyDescent="0.25">
      <c r="A41" s="7"/>
      <c r="B41" s="8"/>
      <c r="C41" s="10" t="s">
        <v>122</v>
      </c>
      <c r="D41" s="10" t="s">
        <v>123</v>
      </c>
      <c r="E41" s="10"/>
      <c r="F41" s="10"/>
      <c r="G41" s="10"/>
      <c r="H41" s="10"/>
      <c r="I41" s="10"/>
      <c r="J41" s="10"/>
      <c r="K41" s="11"/>
    </row>
  </sheetData>
  <autoFilter ref="A3:L41" xr:uid="{00000000-0009-0000-0000-000000000000}"/>
  <sortState xmlns:xlrd2="http://schemas.microsoft.com/office/spreadsheetml/2017/richdata2" ref="B3:J39">
    <sortCondition ref="B3:B39"/>
  </sortState>
  <mergeCells count="2">
    <mergeCell ref="A1:J1"/>
    <mergeCell ref="C2:J2"/>
  </mergeCells>
  <phoneticPr fontId="4" type="noConversion"/>
  <conditionalFormatting sqref="A1:A2">
    <cfRule type="duplicateValues" dxfId="6" priority="3"/>
  </conditionalFormatting>
  <conditionalFormatting sqref="A3">
    <cfRule type="duplicateValues" dxfId="5" priority="6"/>
  </conditionalFormatting>
  <conditionalFormatting sqref="A4:A16 A18:A40">
    <cfRule type="duplicateValues" dxfId="4" priority="5"/>
  </conditionalFormatting>
  <conditionalFormatting sqref="A41">
    <cfRule type="duplicateValues" dxfId="3" priority="1"/>
  </conditionalFormatting>
  <conditionalFormatting sqref="B3">
    <cfRule type="duplicateValues" dxfId="2" priority="8"/>
  </conditionalFormatting>
  <conditionalFormatting sqref="B4:B16 B18:B40">
    <cfRule type="duplicateValues" dxfId="1" priority="7"/>
  </conditionalFormatting>
  <conditionalFormatting sqref="B41">
    <cfRule type="duplicateValues" dxfId="0" priority="2"/>
  </conditionalFormatting>
  <dataValidations count="2">
    <dataValidation type="list" allowBlank="1" showInputMessage="1" showErrorMessage="1" sqref="E4 E6:J6 E13:J13 E23:J23 E17:J19 E25:J26 E37:J38" xr:uid="{00000000-0002-0000-0000-000000000000}">
      <formula1>$M$4:$M$11</formula1>
    </dataValidation>
    <dataValidation type="list" allowBlank="1" showInputMessage="1" showErrorMessage="1" sqref="F4:J4 E5:J5 E24:J24 E14:J16 E20:J22 E39:J40 E7:J12 E27:J36" xr:uid="{00000000-0002-0000-0000-000001000000}">
      <formula1>#REF!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shajianmei</dc:creator>
  <cp:lastModifiedBy>GRT</cp:lastModifiedBy>
  <dcterms:created xsi:type="dcterms:W3CDTF">2026-02-05T12:34:00Z</dcterms:created>
  <dcterms:modified xsi:type="dcterms:W3CDTF">2026-03-29T01:14:32Z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E17322D1DC4A4E7CB4AAEA624BE8D9E1_11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